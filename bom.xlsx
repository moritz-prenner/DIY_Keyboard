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2F87104-C344-429A-A508-46544CFF058A}" xr6:coauthVersionLast="47" xr6:coauthVersionMax="47" xr10:uidLastSave="{00000000-0000-0000-0000-000000000000}"/>
  <bookViews>
    <workbookView xWindow="-108" yWindow="-108" windowWidth="23256" windowHeight="12456" xr2:uid="{FFCCF245-3A95-42B6-B6AF-3F5B4AE0B2A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7" i="1"/>
  <c r="F8" i="1"/>
  <c r="F13" i="1"/>
</calcChain>
</file>

<file path=xl/sharedStrings.xml><?xml version="1.0" encoding="utf-8"?>
<sst xmlns="http://schemas.openxmlformats.org/spreadsheetml/2006/main" count="73" uniqueCount="41">
  <si>
    <t>name</t>
  </si>
  <si>
    <t>price</t>
  </si>
  <si>
    <t>store</t>
  </si>
  <si>
    <t>link</t>
  </si>
  <si>
    <t>payed by</t>
  </si>
  <si>
    <t>BOM DIY Keyboard</t>
  </si>
  <si>
    <t>number</t>
  </si>
  <si>
    <t>pcb</t>
  </si>
  <si>
    <t>JLCPCB</t>
  </si>
  <si>
    <t>https://jlcpcb.com/</t>
  </si>
  <si>
    <t>Hackclub</t>
  </si>
  <si>
    <t>case part 1</t>
  </si>
  <si>
    <t>case part 2</t>
  </si>
  <si>
    <t>shipping</t>
  </si>
  <si>
    <t>total</t>
  </si>
  <si>
    <t>customs</t>
  </si>
  <si>
    <t>oled screen</t>
  </si>
  <si>
    <t>microcontroller</t>
  </si>
  <si>
    <t>switches</t>
  </si>
  <si>
    <t>screws</t>
  </si>
  <si>
    <t>diodes</t>
  </si>
  <si>
    <t>-</t>
  </si>
  <si>
    <t>myself</t>
  </si>
  <si>
    <t>none</t>
  </si>
  <si>
    <t>keeb.io</t>
  </si>
  <si>
    <t>amazon</t>
  </si>
  <si>
    <t>rotary encoder</t>
  </si>
  <si>
    <t>printing legion*</t>
  </si>
  <si>
    <t>* Disclaimer:</t>
  </si>
  <si>
    <t>Because I am planning to participate in construct</t>
  </si>
  <si>
    <t>I am probably going to print the parts myself.</t>
  </si>
  <si>
    <r>
      <t xml:space="preserve">I  am </t>
    </r>
    <r>
      <rPr>
        <b/>
        <u/>
        <sz val="11"/>
        <color theme="1"/>
        <rFont val="Aptos Narrow"/>
        <family val="2"/>
        <scheme val="minor"/>
      </rPr>
      <t>not</t>
    </r>
    <r>
      <rPr>
        <sz val="11"/>
        <color theme="1"/>
        <rFont val="Aptos Narrow"/>
        <family val="2"/>
        <scheme val="minor"/>
      </rPr>
      <t xml:space="preserve"> going to count my work for the keyboard case for construct!!!</t>
    </r>
  </si>
  <si>
    <t>keycaps</t>
  </si>
  <si>
    <t>threaded inserts</t>
  </si>
  <si>
    <t>tweezers</t>
  </si>
  <si>
    <t>unkown</t>
  </si>
  <si>
    <t>unknown</t>
  </si>
  <si>
    <t>caseking</t>
  </si>
  <si>
    <t>euros:</t>
  </si>
  <si>
    <t>dollars</t>
  </si>
  <si>
    <t>note: I am buying them 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</si>
</sst>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€&quot;\ * #,##0.00_-;\-&quot;€&quot;\ * #,##0.00_-;_-&quot;€&quot;\ * &quot;-&quot;??_-;_-@_-"/>
    <numFmt numFmtId="164" formatCode="_-[$$-409]* #,##0.00_ ;_-[$$-409]* \-#,##0.00\ ;_-[$$-409]* &quot;-&quot;??_ ;_-@_ "/>
    <numFmt numFmtId="165" formatCode="_-[$€-C07]\ * #,##0.00_-;\-[$€-C07]\ * #,##0.00_-;_-[$€-C07]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3" borderId="1" xfId="0" applyFill="1" applyBorder="1"/>
    <xf numFmtId="164" fontId="0" fillId="0" borderId="0" xfId="0" applyNumberFormat="1"/>
    <xf numFmtId="164" fontId="0" fillId="0" borderId="0" xfId="1" applyNumberFormat="1" applyFont="1"/>
    <xf numFmtId="164" fontId="0" fillId="4" borderId="0" xfId="0" applyNumberFormat="1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center"/>
    </xf>
    <xf numFmtId="164" fontId="0" fillId="5" borderId="0" xfId="0" applyNumberFormat="1" applyFill="1"/>
    <xf numFmtId="0" fontId="0" fillId="2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2" fillId="0" borderId="0" xfId="2"/>
    <xf numFmtId="44" fontId="0" fillId="0" borderId="0" xfId="1" applyFont="1"/>
    <xf numFmtId="165" fontId="0" fillId="0" borderId="0" xfId="1" applyNumberFormat="1" applyFont="1"/>
    <xf numFmtId="165" fontId="0" fillId="0" borderId="0" xfId="0" applyNumberFormat="1"/>
    <xf numFmtId="44" fontId="0" fillId="4" borderId="0" xfId="0" applyNumberFormat="1" applyFill="1"/>
    <xf numFmtId="0" fontId="2" fillId="0" borderId="0" xfId="2" applyFill="1"/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de/Mechanische-Tastaturschalter-kompatibel-Switches-Ersatztasten/dp/B0FZSXZWXH/ref=sr_1_17?__mk_de_DE=%C3%85M%C3%85%C5%BD%C3%95%C3%91&amp;crid=3P8ZGKW82ANY6&amp;dib=eyJ2IjoiMSJ9.xPAcOLyGaICDvIr3eGvmX2Nbg9Avvfh8830_3XWB2QB3RH84r676aVfAiZGq-l0-jiakhiTC2Nq8sVaV_dViBVnTtWp-2F-Wm7DzwtA84KXunjQh_7VY3UfRBkRRiyTJ6jNPAmvdZcMCDvuDRn5oXZLM9R2bzZ6kVBJDttUWntZiA3W6s2bIggtnHZoPR2S8Tqqu5cUu1BtJD8FyGjE3F2i_t7cuHgj7J_eZhcvjYL8.45slUy1tBtE5slcQdVvStNsHbGS7OUXbNOzpDufaXkE&amp;dib_tag=se&amp;keywords=keyboard+switches+cherry&amp;qid=1765718791&amp;sprefix=keyboard+switches+cherry%2Caps%2C118&amp;sr=8-17" TargetMode="External"/><Relationship Id="rId3" Type="http://schemas.openxmlformats.org/officeDocument/2006/relationships/hyperlink" Target="https://www.amazon.de/Ziamzra-Gewindeeins%C3%A4tze-Einpressmuttern-Einschmelzgewinde-Kunststoffschale/dp/B0CRHM21VX/ref=sr_1_8?__mk_de_DE=%C3%85M%C3%85%C5%BD%C3%95%C3%91&amp;crid=39P5KSY1C5S8Y&amp;dib=eyJ2IjoiMSJ9.Y0D0wZdGVBiyTk9Cr5A6GraJfg1ouOFiCpaQQ0-WqprEapWFnj5qkMpERA0bUpkW91gRJEz4OaUEdKDtV3ADXEKzbEaDvXWBgtZ2tFa0hdsqzB07jc4DXBAoOlrZJeAbDQgrZLw2U_WKwKCkgD4aeiHdD0Eo3VVIiTRGofcRR0rpSEiZpDFXKgAQBRk8ZU0vvSblDLw7hrvWTRf1x4z_kegRIcJfi5iTXLo1UVmlSAW37ry4VuS7CySaimNS_MkDYO2RY1u8ZUvQmq5OGtAF06bTTCxiKOdsgagnrf3wfrA.rkKeIqYX6wEH6ldtmmRt5osl8A26l-MhcUY4HbKVigw&amp;dib_tag=se&amp;keywords=einschmelzgewinde%2Bm5&amp;qid=1765717480&amp;sprefix=einschmelzgewinde%2Bm5%2Caps%2C177&amp;sr=8-8&amp;th=1" TargetMode="External"/><Relationship Id="rId7" Type="http://schemas.openxmlformats.org/officeDocument/2006/relationships/hyperlink" Target="https://keeb.io/products/rotary-encoder-ec11?variant=32196247879774" TargetMode="External"/><Relationship Id="rId2" Type="http://schemas.openxmlformats.org/officeDocument/2006/relationships/hyperlink" Target="https://www.amazon.de/Gewindeschrauben-Zylinderschrauben-Innensechskantschrauben-Maschinenschrauben-Schraubenschl%C3%BCssel/dp/B0DYNYF78Q/ref=sr_1_7?__mk_de_DE=%C3%85M%C3%85%C5%BD%C3%95%C3%91&amp;crid=3GKJ1C7B6OYVM&amp;dib=eyJ2IjoiMSJ9.zbeKg1qbQk-CQ0CoXF2nt59iLT1UQrPYlJkMAt19ig4VoVnHB9o1pf-w6WChf85t_uLUS_tIZp93RwVNsgvZpO2AtugvCsO6KoQy2MzUN9KDbiFOrmuSkTOlOglE_lWvZHlpVaAGoZ2ociuu8UR9BPrYxj5tajRIhWvblUaDbpM73wG9U4HjoIQhRA-fG7tVDSKuyGixVaqsZqzGvJemcfuAL6n3c6ANAPU13bWItgp5tvJy1evPS1ol5nPUFlauqaeK64jPjzWp4jrF-2-T1dI-xICT5x5JheTPx4yz79A.z9HF8S9l2Nikly522SSToHGoHnJvSukIYtLlt0_yw7Y&amp;dib_tag=se&amp;keywords=screws+m5+black&amp;qid=1765717572&amp;sprefix=screws+m5+black%2Caps%2C113&amp;sr=8-7" TargetMode="External"/><Relationship Id="rId1" Type="http://schemas.openxmlformats.org/officeDocument/2006/relationships/hyperlink" Target="https://keeb.io/products/rp2040-pro-micro-usb-c-controller" TargetMode="External"/><Relationship Id="rId6" Type="http://schemas.openxmlformats.org/officeDocument/2006/relationships/hyperlink" Target="https://keeb.io/products/1n4148-diodes?_pos=1&amp;_sid=ad836e081&amp;_ss=r&amp;variant=46445149574" TargetMode="External"/><Relationship Id="rId5" Type="http://schemas.openxmlformats.org/officeDocument/2006/relationships/hyperlink" Target="https://www.caseking.de/glorious-gpbt-basics-keycaps-iso-layout-de-pbt-doubleshot-classic-black/GAKC-571.html" TargetMode="External"/><Relationship Id="rId4" Type="http://schemas.openxmlformats.org/officeDocument/2006/relationships/hyperlink" Target="https://www.amazon.de/TOWOT-Pr%C3%A4zisionspinzette-Edelstahl-Adlerschnabel-Pinzette-Schmuckherstellung-Industriepinzette/dp/B0C9PRWY8M/ref=sr_1_2_sspa?__mk_de_DE=%C3%85M%C3%85%C5%BD%C3%95%C3%91&amp;crid=3EV5CPBEHA045&amp;dib=eyJ2IjoiMSJ9.b43PfB5jVcc7pzU4oKlLn_a5XfJRDLFP8zXaZZv2GBjcjU0ycyiYAJ-ZVxSQunRRdzQ5gQnzKI0nVPXzmbAAH0tJg4pfttYAJ4IuKqEVmxooCroMCl_rYOSVbPJBHlZl1eRL3n1iE3ooe3Ll9NinUA60yW5fDIPfcaL_1-8rF9zo0qQmG_T-wz6Izj2lnIDYYxC5kDRgw7jGmlSGKpAVHF9_nWceqySfwO_aOHyNIMU.dqkMKSoc7VNryHv9NUakpRXLNuiZ3WJPp6yoSR9aCRA&amp;dib_tag=se&amp;keywords=pinzette%2Bl%C3%B6ten&amp;qid=1765717822&amp;sprefix=pinzette%2Bl%C3%B6ten%2Caps%2C131&amp;sr=8-2-spons&amp;aref=edxFzYEG9B&amp;sp_csd=d2lkZ2V0TmFtZT1zcF9hdGY&amp;th=1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4C7CD-047A-4149-A2FB-275886201874}">
  <dimension ref="A1:J24"/>
  <sheetViews>
    <sheetView tabSelected="1" zoomScaleNormal="100" workbookViewId="0">
      <selection activeCell="N27" sqref="N27"/>
    </sheetView>
  </sheetViews>
  <sheetFormatPr baseColWidth="10" defaultRowHeight="14.4" x14ac:dyDescent="0.3"/>
  <cols>
    <col min="2" max="2" width="14.6640625" bestFit="1" customWidth="1"/>
    <col min="7" max="7" width="12.44140625" bestFit="1" customWidth="1"/>
    <col min="8" max="8" width="18.109375" bestFit="1" customWidth="1"/>
  </cols>
  <sheetData>
    <row r="1" spans="1:10" x14ac:dyDescent="0.3">
      <c r="A1" s="10" t="s">
        <v>5</v>
      </c>
      <c r="B1" s="10"/>
      <c r="C1" s="10"/>
      <c r="D1" s="10"/>
      <c r="E1" s="10"/>
      <c r="F1" s="10"/>
      <c r="G1" s="10"/>
      <c r="H1" s="10"/>
      <c r="I1" s="10"/>
    </row>
    <row r="2" spans="1:10" ht="15" thickBot="1" x14ac:dyDescent="0.35">
      <c r="A2" s="2" t="s">
        <v>6</v>
      </c>
      <c r="B2" s="2" t="s">
        <v>0</v>
      </c>
      <c r="C2" s="2" t="s">
        <v>1</v>
      </c>
      <c r="D2" s="2" t="s">
        <v>13</v>
      </c>
      <c r="E2" s="2" t="s">
        <v>15</v>
      </c>
      <c r="F2" s="2" t="s">
        <v>14</v>
      </c>
      <c r="G2" s="2" t="s">
        <v>2</v>
      </c>
      <c r="H2" s="2" t="s">
        <v>3</v>
      </c>
      <c r="I2" s="2" t="s">
        <v>4</v>
      </c>
    </row>
    <row r="3" spans="1:10" ht="15.6" thickTop="1" thickBot="1" x14ac:dyDescent="0.35">
      <c r="A3" s="1">
        <v>1</v>
      </c>
      <c r="B3" t="s">
        <v>7</v>
      </c>
      <c r="C3" s="3">
        <v>24.7</v>
      </c>
      <c r="D3" s="4">
        <v>18.690000000000001</v>
      </c>
      <c r="E3" s="3">
        <v>8.68</v>
      </c>
      <c r="F3" s="5">
        <v>52.07</v>
      </c>
      <c r="G3" t="s">
        <v>8</v>
      </c>
      <c r="H3" t="s">
        <v>9</v>
      </c>
      <c r="I3" s="6" t="s">
        <v>10</v>
      </c>
    </row>
    <row r="4" spans="1:10" ht="15" thickBot="1" x14ac:dyDescent="0.35">
      <c r="A4" s="1">
        <v>2</v>
      </c>
      <c r="B4" t="s">
        <v>11</v>
      </c>
      <c r="C4" s="11" t="s">
        <v>27</v>
      </c>
      <c r="D4" s="12"/>
      <c r="E4" s="12"/>
      <c r="F4" s="12"/>
      <c r="G4" s="12"/>
      <c r="H4" s="13"/>
      <c r="I4" s="6" t="s">
        <v>10</v>
      </c>
    </row>
    <row r="5" spans="1:10" ht="15" thickBot="1" x14ac:dyDescent="0.35">
      <c r="A5" s="1">
        <v>3</v>
      </c>
      <c r="B5" t="s">
        <v>12</v>
      </c>
      <c r="C5" s="11" t="s">
        <v>27</v>
      </c>
      <c r="D5" s="12"/>
      <c r="E5" s="12"/>
      <c r="F5" s="12"/>
      <c r="G5" s="12"/>
      <c r="H5" s="13"/>
      <c r="I5" s="6" t="s">
        <v>10</v>
      </c>
    </row>
    <row r="6" spans="1:10" x14ac:dyDescent="0.3">
      <c r="A6" s="8">
        <v>4</v>
      </c>
      <c r="B6" s="7" t="s">
        <v>16</v>
      </c>
      <c r="C6" s="9">
        <v>0</v>
      </c>
      <c r="D6" s="9">
        <v>0</v>
      </c>
      <c r="E6" s="9">
        <v>0</v>
      </c>
      <c r="F6" s="9">
        <v>0</v>
      </c>
      <c r="G6" s="7" t="s">
        <v>23</v>
      </c>
      <c r="H6" s="7" t="s">
        <v>23</v>
      </c>
      <c r="I6" s="7" t="s">
        <v>22</v>
      </c>
    </row>
    <row r="7" spans="1:10" x14ac:dyDescent="0.3">
      <c r="A7" s="1">
        <v>5</v>
      </c>
      <c r="B7" t="s">
        <v>17</v>
      </c>
      <c r="C7" s="3">
        <v>9.99</v>
      </c>
      <c r="D7" s="4">
        <v>22.31</v>
      </c>
      <c r="E7" t="s">
        <v>21</v>
      </c>
      <c r="F7" s="4">
        <v>32.299999999999997</v>
      </c>
      <c r="G7" t="s">
        <v>24</v>
      </c>
      <c r="H7" s="24" t="s">
        <v>3</v>
      </c>
      <c r="I7" s="6" t="s">
        <v>10</v>
      </c>
    </row>
    <row r="8" spans="1:10" x14ac:dyDescent="0.3">
      <c r="A8" s="1">
        <v>6</v>
      </c>
      <c r="B8" t="s">
        <v>18</v>
      </c>
      <c r="C8" s="27">
        <v>9.77</v>
      </c>
      <c r="D8" s="14" t="s">
        <v>35</v>
      </c>
      <c r="E8" s="14"/>
      <c r="F8" s="26">
        <f>C8*2</f>
        <v>19.54</v>
      </c>
      <c r="G8" t="s">
        <v>25</v>
      </c>
      <c r="H8" s="29" t="s">
        <v>3</v>
      </c>
      <c r="I8" s="6" t="s">
        <v>10</v>
      </c>
      <c r="J8" t="s">
        <v>40</v>
      </c>
    </row>
    <row r="9" spans="1:10" x14ac:dyDescent="0.3">
      <c r="A9" s="1">
        <v>7</v>
      </c>
      <c r="B9" t="s">
        <v>19</v>
      </c>
      <c r="C9" s="25">
        <v>6.04</v>
      </c>
      <c r="D9" s="14" t="s">
        <v>35</v>
      </c>
      <c r="E9" s="14"/>
      <c r="F9" s="25">
        <v>6.04</v>
      </c>
      <c r="G9" t="s">
        <v>25</v>
      </c>
      <c r="H9" s="24" t="s">
        <v>3</v>
      </c>
      <c r="I9" s="6" t="s">
        <v>10</v>
      </c>
    </row>
    <row r="10" spans="1:10" x14ac:dyDescent="0.3">
      <c r="A10" s="1">
        <v>8</v>
      </c>
      <c r="B10" t="s">
        <v>33</v>
      </c>
      <c r="C10" s="25">
        <v>5.0199999999999996</v>
      </c>
      <c r="D10" s="14" t="s">
        <v>36</v>
      </c>
      <c r="E10" s="14"/>
      <c r="F10" s="25">
        <v>5.0199999999999996</v>
      </c>
      <c r="G10" t="s">
        <v>25</v>
      </c>
      <c r="H10" s="24" t="s">
        <v>3</v>
      </c>
      <c r="I10" s="6" t="s">
        <v>10</v>
      </c>
    </row>
    <row r="11" spans="1:10" x14ac:dyDescent="0.3">
      <c r="A11" s="1">
        <v>9</v>
      </c>
      <c r="B11" t="s">
        <v>20</v>
      </c>
      <c r="C11" s="4">
        <v>2.99</v>
      </c>
      <c r="D11" t="s">
        <v>21</v>
      </c>
      <c r="E11" t="s">
        <v>21</v>
      </c>
      <c r="F11" s="4">
        <v>2.99</v>
      </c>
      <c r="G11" t="s">
        <v>24</v>
      </c>
      <c r="H11" s="24" t="s">
        <v>3</v>
      </c>
      <c r="I11" s="6" t="s">
        <v>10</v>
      </c>
    </row>
    <row r="12" spans="1:10" x14ac:dyDescent="0.3">
      <c r="A12" s="1">
        <v>10</v>
      </c>
      <c r="B12" t="s">
        <v>26</v>
      </c>
      <c r="C12" s="4">
        <v>1.99</v>
      </c>
      <c r="D12" t="s">
        <v>21</v>
      </c>
      <c r="E12" t="s">
        <v>21</v>
      </c>
      <c r="F12" s="4">
        <v>1.99</v>
      </c>
      <c r="G12" t="s">
        <v>24</v>
      </c>
      <c r="H12" s="24" t="s">
        <v>3</v>
      </c>
      <c r="I12" s="6" t="s">
        <v>10</v>
      </c>
    </row>
    <row r="13" spans="1:10" x14ac:dyDescent="0.3">
      <c r="A13" s="1">
        <v>11</v>
      </c>
      <c r="B13" t="s">
        <v>32</v>
      </c>
      <c r="C13" s="26">
        <v>34.99</v>
      </c>
      <c r="D13" s="27">
        <v>4.99</v>
      </c>
      <c r="E13" t="s">
        <v>21</v>
      </c>
      <c r="F13" s="27">
        <f>+D13+C13</f>
        <v>39.980000000000004</v>
      </c>
      <c r="G13" t="s">
        <v>37</v>
      </c>
      <c r="H13" s="24" t="s">
        <v>3</v>
      </c>
      <c r="I13" s="7" t="s">
        <v>22</v>
      </c>
    </row>
    <row r="14" spans="1:10" x14ac:dyDescent="0.3">
      <c r="A14" s="1">
        <v>12</v>
      </c>
      <c r="B14" t="s">
        <v>34</v>
      </c>
      <c r="C14" s="25">
        <v>6.74</v>
      </c>
      <c r="D14" s="14" t="s">
        <v>36</v>
      </c>
      <c r="E14" s="14"/>
      <c r="F14" s="25">
        <v>6.74</v>
      </c>
      <c r="G14" t="s">
        <v>25</v>
      </c>
      <c r="H14" s="24" t="s">
        <v>3</v>
      </c>
      <c r="I14" s="6" t="s">
        <v>10</v>
      </c>
    </row>
    <row r="15" spans="1:10" x14ac:dyDescent="0.3">
      <c r="A15" s="1"/>
    </row>
    <row r="16" spans="1:10" x14ac:dyDescent="0.3">
      <c r="A16" s="1"/>
      <c r="E16" s="6" t="s">
        <v>38</v>
      </c>
      <c r="F16" s="28">
        <f>F14+F10+F9+F8</f>
        <v>37.340000000000003</v>
      </c>
    </row>
    <row r="17" spans="2:6" x14ac:dyDescent="0.3">
      <c r="E17" s="6" t="s">
        <v>39</v>
      </c>
      <c r="F17" s="5">
        <f>F12+F11+F7+F3</f>
        <v>89.35</v>
      </c>
    </row>
    <row r="20" spans="2:6" ht="15" thickBot="1" x14ac:dyDescent="0.35"/>
    <row r="21" spans="2:6" x14ac:dyDescent="0.3">
      <c r="B21" s="15" t="s">
        <v>28</v>
      </c>
      <c r="C21" s="16"/>
      <c r="D21" s="16"/>
      <c r="E21" s="16"/>
      <c r="F21" s="17"/>
    </row>
    <row r="22" spans="2:6" x14ac:dyDescent="0.3">
      <c r="B22" s="18" t="s">
        <v>29</v>
      </c>
      <c r="C22" s="19"/>
      <c r="D22" s="19"/>
      <c r="E22" s="19"/>
      <c r="F22" s="20"/>
    </row>
    <row r="23" spans="2:6" x14ac:dyDescent="0.3">
      <c r="B23" s="18" t="s">
        <v>30</v>
      </c>
      <c r="C23" s="19"/>
      <c r="D23" s="19"/>
      <c r="E23" s="19"/>
      <c r="F23" s="20"/>
    </row>
    <row r="24" spans="2:6" ht="15" thickBot="1" x14ac:dyDescent="0.35">
      <c r="B24" s="21" t="s">
        <v>31</v>
      </c>
      <c r="C24" s="22"/>
      <c r="D24" s="22"/>
      <c r="E24" s="22"/>
      <c r="F24" s="23"/>
    </row>
  </sheetData>
  <mergeCells count="11">
    <mergeCell ref="B23:F23"/>
    <mergeCell ref="B24:F24"/>
    <mergeCell ref="D9:E9"/>
    <mergeCell ref="D10:E10"/>
    <mergeCell ref="D14:E14"/>
    <mergeCell ref="A1:I1"/>
    <mergeCell ref="C4:H4"/>
    <mergeCell ref="C5:H5"/>
    <mergeCell ref="B21:F21"/>
    <mergeCell ref="B22:F22"/>
    <mergeCell ref="D8:E8"/>
  </mergeCells>
  <hyperlinks>
    <hyperlink ref="H7" r:id="rId1" xr:uid="{4FB13AFD-827D-46AC-859D-4BF6EEDE45AC}"/>
    <hyperlink ref="H9" r:id="rId2" xr:uid="{4C4E8E23-ABEE-4ACB-B8B4-5573DE6B7A1A}"/>
    <hyperlink ref="H10" r:id="rId3" xr:uid="{67AF882D-6007-42CA-A0F2-994960EF2A36}"/>
    <hyperlink ref="H14" r:id="rId4" xr:uid="{6AB4648A-FCAC-4DB4-B3DA-9C9BB7B982AA}"/>
    <hyperlink ref="H13" r:id="rId5" xr:uid="{6AF62CB0-E0A4-4318-991B-3C0E5F25CA0D}"/>
    <hyperlink ref="H11" r:id="rId6" xr:uid="{9662131F-50DC-45DC-B044-76403E3E1ECB}"/>
    <hyperlink ref="H12" r:id="rId7" xr:uid="{9A785BE8-423E-4D7F-8EB2-CA7C8AB0A98C}"/>
    <hyperlink ref="H8" r:id="rId8" xr:uid="{8745AF16-B382-486E-AA37-684560A37C0A}"/>
  </hyperlinks>
  <pageMargins left="0.7" right="0.7" top="0.78740157499999996" bottom="0.78740157499999996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Moritz Prenner</dc:creator>
  <cp:lastModifiedBy>Moritz Prenner</cp:lastModifiedBy>
  <dcterms:created xsi:type="dcterms:W3CDTF">2025-11-23T13:12:33Z</dcterms:created>
  <dcterms:modified xsi:type="dcterms:W3CDTF">2025-12-14T13:34:06Z</dcterms:modified>
</cp:coreProperties>
</file>