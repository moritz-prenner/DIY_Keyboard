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itz.prenner\Downloads\"/>
    </mc:Choice>
  </mc:AlternateContent>
  <xr:revisionPtr revIDLastSave="0" documentId="8_{68A3C04E-D14F-400E-A8C9-EF780C826BEB}" xr6:coauthVersionLast="47" xr6:coauthVersionMax="47" xr10:uidLastSave="{00000000-0000-0000-0000-000000000000}"/>
  <bookViews>
    <workbookView xWindow="-108" yWindow="-108" windowWidth="23256" windowHeight="12456" xr2:uid="{FFCCF245-3A95-42B6-B6AF-3F5B4AE0B2A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3" i="1"/>
  <c r="F8" i="1"/>
</calcChain>
</file>

<file path=xl/sharedStrings.xml><?xml version="1.0" encoding="utf-8"?>
<sst xmlns="http://schemas.openxmlformats.org/spreadsheetml/2006/main" count="72" uniqueCount="34">
  <si>
    <t>name</t>
  </si>
  <si>
    <t>price</t>
  </si>
  <si>
    <t>store</t>
  </si>
  <si>
    <t>link</t>
  </si>
  <si>
    <t>payed by</t>
  </si>
  <si>
    <t>BOM DIY Keyboard</t>
  </si>
  <si>
    <t>number</t>
  </si>
  <si>
    <t>pcb</t>
  </si>
  <si>
    <t>JLCPCB</t>
  </si>
  <si>
    <t>https://jlcpcb.com/</t>
  </si>
  <si>
    <t>Hackclub</t>
  </si>
  <si>
    <t>case part 1</t>
  </si>
  <si>
    <t>case part 2</t>
  </si>
  <si>
    <t>shipping</t>
  </si>
  <si>
    <t>total</t>
  </si>
  <si>
    <t>customs</t>
  </si>
  <si>
    <t>oled screen</t>
  </si>
  <si>
    <t>microcontroller</t>
  </si>
  <si>
    <t>switches</t>
  </si>
  <si>
    <t>screws</t>
  </si>
  <si>
    <t>diodes</t>
  </si>
  <si>
    <t>-</t>
  </si>
  <si>
    <t>myself</t>
  </si>
  <si>
    <t>none</t>
  </si>
  <si>
    <t>rotary encoder</t>
  </si>
  <si>
    <t>printing legion*</t>
  </si>
  <si>
    <t>* Disclaimer:</t>
  </si>
  <si>
    <t>Because I am planning to participate in construct</t>
  </si>
  <si>
    <t>I am probably going to print the parts myself.</t>
  </si>
  <si>
    <r>
      <t xml:space="preserve">I  am </t>
    </r>
    <r>
      <rPr>
        <b/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going to count my work for the keyboard case for construct!!!</t>
    </r>
  </si>
  <si>
    <t>keycaps</t>
  </si>
  <si>
    <t>threaded inserts</t>
  </si>
  <si>
    <t>tweezers</t>
  </si>
  <si>
    <t>Alieexpress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</si>
</sst>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\ * #,##0.00_-;\-&quot;€&quot;\ * #,##0.00_-;_-&quot;€&quot;\ * &quot;-&quot;??_-;_-@_-"/>
    <numFmt numFmtId="164" formatCode="_-[$$-409]* #,##0.00_ ;_-[$$-409]* \-#,##0.00\ ;_-[$$-409]* &quot;-&quot;??_ ;_-@_ "/>
    <numFmt numFmtId="165" formatCode="_-[$€-C07]\ * #,##0.00_-;\-[$€-C07]\ * #,##0.00_-;_-[$€-C07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/>
    <xf numFmtId="164" fontId="0" fillId="0" borderId="0" xfId="0" applyNumberFormat="1"/>
    <xf numFmtId="164" fontId="0" fillId="0" borderId="0" xfId="1" applyNumberFormat="1" applyFont="1"/>
    <xf numFmtId="164" fontId="0" fillId="4" borderId="0" xfId="0" applyNumberFormat="1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/>
    <xf numFmtId="0" fontId="2" fillId="0" borderId="0" xfId="2"/>
    <xf numFmtId="165" fontId="0" fillId="0" borderId="0" xfId="0" applyNumberFormat="1"/>
    <xf numFmtId="0" fontId="2" fillId="0" borderId="0" xfId="2" applyFill="1"/>
    <xf numFmtId="0" fontId="0" fillId="2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us/item/3256807287812473.html?spm=a2g0o.productlist.main.1.428a2464lkMk8L&amp;aem_p4p_detail=202601020209474218490459859190001651592&amp;algo_pvid=0d336e14-ab4d-44e3-beeb-e22ce97b5021&amp;algo_exp_id=0d336e14-ab4d-44e3-beeb-e22ce97b5021-0&amp;pdp_ext_f=%7B%22order%22%3A%22194%22%2C%22eval%22%3A%221%22%2C%22fromPage%22%3A%22search%22%7D&amp;pdp_npi=6%40dis%21USD%218.44%210.99%21%21%2158.50%216.86%21%40211b617b17673485873221629e13f5%2112000040899468611%21sea%21US%210%21ABX%211%210%21n_tag%3A-29910%3Bd%3Ad36062a4%3Bm03_new_user%3A-29895%3BpisId%3A5000000198352206&amp;curPageLogUid=IzEzjf9NA2AT&amp;utparam-url=scene%3Asearch%7Cquery_from%3A%7Cx_object_id%3A1005007474127225%7C_p_origin_prod%3A&amp;search_p4p_id=202601020209474218490459859190001651592_1" TargetMode="External"/><Relationship Id="rId3" Type="http://schemas.openxmlformats.org/officeDocument/2006/relationships/hyperlink" Target="https://www.aliexpress.us/item/3256803951626702.html?spm=a2g0o.productlist.main.4.42a2Q5HWQ5HWa7&amp;aem_p4p_detail=202601020213196803437150607040002716969&amp;algo_pvid=79edb57a-f162-4baf-b82d-cc92ee32d976&amp;algo_exp_id=79edb57a-f162-4baf-b82d-cc92ee32d976-3&amp;pdp_ext_f=%7B%22order%22%3A%22279%22%2C%22eval%22%3A%221%22%2C%22fromPage%22%3A%22search%22%7D&amp;pdp_npi=6%40dis%21USD%214.12%210.99%21%21%214.12%210.99%21%40211b80c217673487995067088e1852%2112000028156671635%21sea%21US%210%21ABX%211%210%21n_tag%3A-29910%3Bd%3Ad36062a4%3Bm03_new_user%3A-29895%3BpisId%3A5000000197847450&amp;curPageLogUid=LZ68UpslQYpl&amp;utparam-url=scene%3Asearch%7Cquery_from%3A%7Cx_object_id%3A1005004137941454%7C_p_origin_prod%3A&amp;search_p4p_id=202601020213196803437150607040002716969_4" TargetMode="External"/><Relationship Id="rId7" Type="http://schemas.openxmlformats.org/officeDocument/2006/relationships/hyperlink" Target="https://www.aliexpress.us/item/3256807457768762.html?spm=a2g0o.productlist.main.1.417b2aa6nQ3lec&amp;algo_pvid=82065afa-a9b0-42ae-8fca-524e0cfd207c&amp;algo_exp_id=82065afa-a9b0-42ae-8fca-524e0cfd207c-0&amp;pdp_ext_f=%7B%22order%22%3A%22521%22%2C%22eval%22%3A%221%22%2C%22fromPage%22%3A%22search%22%7D&amp;pdp_npi=6%40dis%21USD%211.52%210.99%21%21%211.52%210.99%21%40211b876e17673493802956288efa96%2112000041630839427%21sea%21US%210%21ABX%211%210%21n_tag%3A-29910%3Bd%3Ad36062a4%3Bm03_new_user%3A-29895%3BpisId%3A5000000197847450&amp;curPageLogUid=V7HCYoGuFoAu&amp;utparam-url=scene%3Asearch%7Cquery_from%3A%7Cx_object_id%3A1005007644083514%7C_p_origin_prod%3A" TargetMode="External"/><Relationship Id="rId2" Type="http://schemas.openxmlformats.org/officeDocument/2006/relationships/hyperlink" Target="https://www.aliexpress.us/item/3256807092650644.html?spm=a2g0o.productlist.main.1.42866Nqm6NqmDd&amp;algo_pvid=9a24e2dd-7c05-461a-88a0-194eba602a14&amp;algo_exp_id=9a24e2dd-7c05-461a-88a0-194eba602a14-0&amp;pdp_ext_f=%7B%22order%22%3A%223686%22%2C%22eval%22%3A%221%22%2C%22fromPage%22%3A%22search%22%7D&amp;pdp_npi=6%40dis%21USD%214.97%210.99%21%21%2134.50%216.91%21%40211b628117673487173391625e0029%2112000040076085093%21sea%21US%210%21ABX%211%210%21n_tag%3A-29910%3Bd%3Ad36062a4%3Bm03_new_user%3A-29895%3BpisId%3A5000000197847450&amp;curPageLogUid=jpGcRnpkoJSX&amp;utparam-url=scene%3Asearch%7Cquery_from%3A%7Cx_object_id%3A1005007278965396%7C_p_origin_prod%3A" TargetMode="External"/><Relationship Id="rId1" Type="http://schemas.openxmlformats.org/officeDocument/2006/relationships/hyperlink" Target="https://www.aliexpress.us/item/3256806413079215.html?spm=a2g0o.productlist.main.16.609f1o5s1o5sk4&amp;utparam-url=scene%3Asearch%7Cquery_from%3Apc_back_same_best%7Cx_object_id%3A1005006599393967%7C_p_origin_prod%3A&amp;algo_pvid=64a4bebe-a1f0-490f-a1e7-547052673ca2&amp;algo_exp_id=64a4bebe-a1f0-490f-a1e7-547052673ca2&amp;pdp_ext_f=%7B%22order%22%3A%22568%22%2C%22fromPage%22%3A%22search%22%7D&amp;pdp_npi=6%40dis%21USD%217.61%210.99%21%21%2152.75%216.81%21%40210390b817673484430684926efbfb%2112000037780821565%21sea%21US%210%21ABX%211%210%21n_tag%3A-29910%3Bd%3Ad36062a4%3Bm03_new_user%3A-29895%3BpisId%3A5000000197847450&amp;gatewayAdapt=4itemAdapt" TargetMode="External"/><Relationship Id="rId6" Type="http://schemas.openxmlformats.org/officeDocument/2006/relationships/hyperlink" Target="https://www.aliexpress.us/item/3256806974248533.html?spm=a2g0o.productlist.main.1.726e5bfarexvK6&amp;algo_pvid=cf888045-932f-4332-aaab-0bb2ae7e03e8&amp;algo_exp_id=cf888045-932f-4332-aaab-0bb2ae7e03e8-0&amp;pdp_ext_f=%7B%22order%22%3A%22295%22%2C%22eval%22%3A%221%22%2C%22fromPage%22%3A%22search%22%7D&amp;pdp_npi=6%40dis%21USD%212.97%210.99%21%21%2120.58%216.86%21%402103894417673493090166408e148d%2112000039653324546%21sea%21US%210%21ABX%211%210%21n_tag%3A-29910%3Bd%3Ad36062a4%3Bm03_new_user%3A-29895%3BpisId%3A5000000197847450&amp;curPageLogUid=eBpdBSmcdIFc&amp;utparam-url=scene%3Asearch%7Cquery_from%3A%7Cx_object_id%3A1005007160563285%7C_p_origin_prod%3A" TargetMode="External"/><Relationship Id="rId5" Type="http://schemas.openxmlformats.org/officeDocument/2006/relationships/hyperlink" Target="https://www.aliexpress.us/item/3256809711493049.html?spm=a2g0o.productlist.main.25.1bfb4c60fKbwwR&amp;utparam-url=scene%3Asearch%7Cquery_from%3Apc_back_same_best%7Cx_object_id%3A1005009897807801%7C_p_origin_prod%3A&amp;algo_pvid=71419e7d-d6ad-4db6-9dfe-f56800dd5fd3&amp;algo_exp_id=71419e7d-d6ad-4db6-9dfe-f56800dd5fd3&amp;pdp_ext_f=%7B%22order%22%3A%22216%22%2C%22fromPage%22%3A%22search%22%7D&amp;pdp_npi=6%40dis%21USD%2110.56%210.99%21%21%2173.21%216.81%21%40211b6c1917673495044081417e0dd2%2112000050513611085%21sea%21US%210%21ABX%211%210%21n_tag%3A-29910%3Bd%3Ad36062a4%3Bm03_new_user%3A-29895%3BpisId%3A5000000197847450&amp;gatewayAdapt=4itemAdapt" TargetMode="External"/><Relationship Id="rId4" Type="http://schemas.openxmlformats.org/officeDocument/2006/relationships/hyperlink" Target="https://www.aliexpress.us/item/2255800812589859.html?spm=a2g0o.productlist.main.2.608fPJ2TPJ2TYm&amp;aem_p4p_detail=202601020226047954104687331080001752218&amp;algo_pvid=5a9d26c2-2da8-4176-9c98-4839f914eb1e&amp;algo_exp_id=5a9d26c2-2da8-4176-9c98-4839f914eb1e-1&amp;pdp_ext_f=%7B%22order%22%3A%22190%22%2C%22eval%22%3A%221%22%2C%22fromPage%22%3A%22search%22%7D&amp;pdp_npi=6%40dis%21USD%211.52%210.99%21%21%211.52%210.99%21%40211b618e17673495648073065ebfcd%2110000013326397266%21sea%21US%210%21ABX%211%210%21n_tag%3A-29910%3Bd%3Ad36062a4%3Bm03_new_user%3A-29895%3BpisId%3A5000000197847450&amp;curPageLogUid=6AeCtISjiv0Y&amp;utparam-url=scene%3Asearch%7Cquery_from%3A%7Cx_object_id%3A4000998904611%7C_p_origin_prod%3A&amp;search_p4p_id=202601020226047954104687331080001752218_2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C7CD-047A-4149-A2FB-275886201874}">
  <dimension ref="A1:I24"/>
  <sheetViews>
    <sheetView tabSelected="1" zoomScale="130" zoomScaleNormal="130" workbookViewId="0">
      <selection activeCell="K16" sqref="K16"/>
    </sheetView>
  </sheetViews>
  <sheetFormatPr baseColWidth="10" defaultRowHeight="14.4" x14ac:dyDescent="0.3"/>
  <cols>
    <col min="2" max="2" width="14.6640625" bestFit="1" customWidth="1"/>
    <col min="7" max="7" width="12.44140625" bestFit="1" customWidth="1"/>
    <col min="8" max="8" width="18.109375" bestFit="1" customWidth="1"/>
  </cols>
  <sheetData>
    <row r="1" spans="1:9" x14ac:dyDescent="0.3">
      <c r="A1" s="13" t="s">
        <v>5</v>
      </c>
      <c r="B1" s="13"/>
      <c r="C1" s="13"/>
      <c r="D1" s="13"/>
      <c r="E1" s="13"/>
      <c r="F1" s="13"/>
      <c r="G1" s="13"/>
      <c r="H1" s="13"/>
      <c r="I1" s="13"/>
    </row>
    <row r="2" spans="1:9" ht="15" thickBot="1" x14ac:dyDescent="0.35">
      <c r="A2" s="2" t="s">
        <v>6</v>
      </c>
      <c r="B2" s="2" t="s">
        <v>0</v>
      </c>
      <c r="C2" s="2" t="s">
        <v>1</v>
      </c>
      <c r="D2" s="2" t="s">
        <v>13</v>
      </c>
      <c r="E2" s="2" t="s">
        <v>15</v>
      </c>
      <c r="F2" s="2" t="s">
        <v>14</v>
      </c>
      <c r="G2" s="2" t="s">
        <v>2</v>
      </c>
      <c r="H2" s="2" t="s">
        <v>3</v>
      </c>
      <c r="I2" s="2" t="s">
        <v>4</v>
      </c>
    </row>
    <row r="3" spans="1:9" ht="15.6" thickTop="1" thickBot="1" x14ac:dyDescent="0.35">
      <c r="A3" s="1">
        <v>1</v>
      </c>
      <c r="B3" t="s">
        <v>7</v>
      </c>
      <c r="C3" s="3">
        <v>24.7</v>
      </c>
      <c r="D3" s="4">
        <v>18.690000000000001</v>
      </c>
      <c r="E3" s="3">
        <v>8.68</v>
      </c>
      <c r="F3" s="5">
        <v>52.07</v>
      </c>
      <c r="G3" t="s">
        <v>8</v>
      </c>
      <c r="H3" t="s">
        <v>9</v>
      </c>
      <c r="I3" s="6" t="s">
        <v>10</v>
      </c>
    </row>
    <row r="4" spans="1:9" ht="15" thickBot="1" x14ac:dyDescent="0.35">
      <c r="A4" s="1">
        <v>2</v>
      </c>
      <c r="B4" t="s">
        <v>11</v>
      </c>
      <c r="C4" s="14" t="s">
        <v>25</v>
      </c>
      <c r="D4" s="15"/>
      <c r="E4" s="15"/>
      <c r="F4" s="15"/>
      <c r="G4" s="15"/>
      <c r="H4" s="16"/>
      <c r="I4" s="6" t="s">
        <v>10</v>
      </c>
    </row>
    <row r="5" spans="1:9" ht="15" thickBot="1" x14ac:dyDescent="0.35">
      <c r="A5" s="1">
        <v>3</v>
      </c>
      <c r="B5" t="s">
        <v>12</v>
      </c>
      <c r="C5" s="14" t="s">
        <v>25</v>
      </c>
      <c r="D5" s="15"/>
      <c r="E5" s="15"/>
      <c r="F5" s="15"/>
      <c r="G5" s="15"/>
      <c r="H5" s="16"/>
      <c r="I5" s="6" t="s">
        <v>10</v>
      </c>
    </row>
    <row r="6" spans="1:9" x14ac:dyDescent="0.3">
      <c r="A6" s="8">
        <v>4</v>
      </c>
      <c r="B6" s="7" t="s">
        <v>16</v>
      </c>
      <c r="C6" s="9">
        <v>0</v>
      </c>
      <c r="D6" s="9">
        <v>0</v>
      </c>
      <c r="E6" s="9">
        <v>0</v>
      </c>
      <c r="F6" s="9">
        <v>0</v>
      </c>
      <c r="G6" s="7" t="s">
        <v>23</v>
      </c>
      <c r="H6" s="7" t="s">
        <v>23</v>
      </c>
      <c r="I6" s="7" t="s">
        <v>22</v>
      </c>
    </row>
    <row r="7" spans="1:9" x14ac:dyDescent="0.3">
      <c r="A7" s="1">
        <v>5</v>
      </c>
      <c r="B7" t="s">
        <v>17</v>
      </c>
      <c r="C7" s="3">
        <v>4.12</v>
      </c>
      <c r="D7" s="4">
        <v>0</v>
      </c>
      <c r="E7" t="s">
        <v>21</v>
      </c>
      <c r="F7" s="4">
        <v>4.12</v>
      </c>
      <c r="G7" t="s">
        <v>33</v>
      </c>
      <c r="H7" s="10" t="s">
        <v>3</v>
      </c>
      <c r="I7" s="6" t="s">
        <v>10</v>
      </c>
    </row>
    <row r="8" spans="1:9" x14ac:dyDescent="0.3">
      <c r="A8" s="1">
        <v>6</v>
      </c>
      <c r="B8" t="s">
        <v>18</v>
      </c>
      <c r="C8" s="4">
        <v>14.4</v>
      </c>
      <c r="D8" s="4">
        <v>0</v>
      </c>
      <c r="E8" t="s">
        <v>21</v>
      </c>
      <c r="F8" s="4">
        <f>C8</f>
        <v>14.4</v>
      </c>
      <c r="G8" t="s">
        <v>33</v>
      </c>
      <c r="H8" s="12" t="s">
        <v>3</v>
      </c>
      <c r="I8" s="6" t="s">
        <v>10</v>
      </c>
    </row>
    <row r="9" spans="1:9" x14ac:dyDescent="0.3">
      <c r="A9" s="1">
        <v>7</v>
      </c>
      <c r="B9" t="s">
        <v>19</v>
      </c>
      <c r="C9" s="4">
        <v>4.97</v>
      </c>
      <c r="D9" s="4">
        <v>0</v>
      </c>
      <c r="E9" t="s">
        <v>21</v>
      </c>
      <c r="F9" s="4">
        <v>4.97</v>
      </c>
      <c r="G9" t="s">
        <v>33</v>
      </c>
      <c r="H9" s="10" t="s">
        <v>3</v>
      </c>
      <c r="I9" s="6" t="s">
        <v>10</v>
      </c>
    </row>
    <row r="10" spans="1:9" x14ac:dyDescent="0.3">
      <c r="A10" s="1">
        <v>8</v>
      </c>
      <c r="B10" t="s">
        <v>31</v>
      </c>
      <c r="C10" s="4">
        <v>4.1900000000000004</v>
      </c>
      <c r="D10" s="4">
        <v>0</v>
      </c>
      <c r="E10" t="s">
        <v>21</v>
      </c>
      <c r="F10" s="4">
        <v>4.1900000000000004</v>
      </c>
      <c r="G10" t="s">
        <v>33</v>
      </c>
      <c r="H10" s="10" t="s">
        <v>3</v>
      </c>
      <c r="I10" s="6" t="s">
        <v>10</v>
      </c>
    </row>
    <row r="11" spans="1:9" x14ac:dyDescent="0.3">
      <c r="A11" s="1">
        <v>9</v>
      </c>
      <c r="B11" t="s">
        <v>20</v>
      </c>
      <c r="C11" s="4">
        <v>2.97</v>
      </c>
      <c r="D11" t="s">
        <v>21</v>
      </c>
      <c r="E11" t="s">
        <v>21</v>
      </c>
      <c r="F11" s="4">
        <v>2.97</v>
      </c>
      <c r="G11" t="s">
        <v>33</v>
      </c>
      <c r="H11" s="10" t="s">
        <v>3</v>
      </c>
      <c r="I11" s="6" t="s">
        <v>10</v>
      </c>
    </row>
    <row r="12" spans="1:9" x14ac:dyDescent="0.3">
      <c r="A12" s="1">
        <v>10</v>
      </c>
      <c r="B12" t="s">
        <v>24</v>
      </c>
      <c r="C12" s="4">
        <v>1.52</v>
      </c>
      <c r="D12" t="s">
        <v>21</v>
      </c>
      <c r="E12" t="s">
        <v>21</v>
      </c>
      <c r="F12" s="4">
        <v>1.52</v>
      </c>
      <c r="G12" t="s">
        <v>33</v>
      </c>
      <c r="H12" s="10" t="s">
        <v>3</v>
      </c>
      <c r="I12" s="6" t="s">
        <v>10</v>
      </c>
    </row>
    <row r="13" spans="1:9" x14ac:dyDescent="0.3">
      <c r="A13" s="1">
        <v>11</v>
      </c>
      <c r="B13" t="s">
        <v>30</v>
      </c>
      <c r="C13" s="4">
        <v>10.16</v>
      </c>
      <c r="D13" s="11" t="s">
        <v>21</v>
      </c>
      <c r="E13" t="s">
        <v>21</v>
      </c>
      <c r="F13" s="3">
        <f>+C13</f>
        <v>10.16</v>
      </c>
      <c r="G13" t="s">
        <v>33</v>
      </c>
      <c r="H13" s="10" t="s">
        <v>3</v>
      </c>
      <c r="I13" s="6" t="s">
        <v>10</v>
      </c>
    </row>
    <row r="14" spans="1:9" x14ac:dyDescent="0.3">
      <c r="A14" s="1">
        <v>12</v>
      </c>
      <c r="B14" t="s">
        <v>32</v>
      </c>
      <c r="C14" s="4">
        <v>1.52</v>
      </c>
      <c r="D14" s="4">
        <v>0</v>
      </c>
      <c r="E14" t="s">
        <v>21</v>
      </c>
      <c r="F14" s="4">
        <v>1.52</v>
      </c>
      <c r="G14" t="s">
        <v>33</v>
      </c>
      <c r="H14" s="10" t="s">
        <v>3</v>
      </c>
      <c r="I14" s="6" t="s">
        <v>10</v>
      </c>
    </row>
    <row r="15" spans="1:9" x14ac:dyDescent="0.3">
      <c r="A15" s="1"/>
    </row>
    <row r="16" spans="1:9" x14ac:dyDescent="0.3">
      <c r="A16" s="1"/>
    </row>
    <row r="17" spans="2:6" x14ac:dyDescent="0.3">
      <c r="E17" s="6" t="s">
        <v>14</v>
      </c>
      <c r="F17" s="5">
        <f>SUM(F3,F7:F14)</f>
        <v>95.919999999999987</v>
      </c>
    </row>
    <row r="20" spans="2:6" ht="15" thickBot="1" x14ac:dyDescent="0.35"/>
    <row r="21" spans="2:6" x14ac:dyDescent="0.3">
      <c r="B21" s="17" t="s">
        <v>26</v>
      </c>
      <c r="C21" s="18"/>
      <c r="D21" s="18"/>
      <c r="E21" s="18"/>
      <c r="F21" s="19"/>
    </row>
    <row r="22" spans="2:6" x14ac:dyDescent="0.3">
      <c r="B22" s="20" t="s">
        <v>27</v>
      </c>
      <c r="C22" s="21"/>
      <c r="D22" s="21"/>
      <c r="E22" s="21"/>
      <c r="F22" s="22"/>
    </row>
    <row r="23" spans="2:6" x14ac:dyDescent="0.3">
      <c r="B23" s="20" t="s">
        <v>28</v>
      </c>
      <c r="C23" s="21"/>
      <c r="D23" s="21"/>
      <c r="E23" s="21"/>
      <c r="F23" s="22"/>
    </row>
    <row r="24" spans="2:6" ht="15" thickBot="1" x14ac:dyDescent="0.35">
      <c r="B24" s="23" t="s">
        <v>29</v>
      </c>
      <c r="C24" s="24"/>
      <c r="D24" s="24"/>
      <c r="E24" s="24"/>
      <c r="F24" s="25"/>
    </row>
  </sheetData>
  <mergeCells count="7">
    <mergeCell ref="B23:F23"/>
    <mergeCell ref="B24:F24"/>
    <mergeCell ref="A1:I1"/>
    <mergeCell ref="C4:H4"/>
    <mergeCell ref="C5:H5"/>
    <mergeCell ref="B21:F21"/>
    <mergeCell ref="B22:F22"/>
  </mergeCells>
  <hyperlinks>
    <hyperlink ref="H7" r:id="rId1" xr:uid="{4FB13AFD-827D-46AC-859D-4BF6EEDE45AC}"/>
    <hyperlink ref="H9" r:id="rId2" xr:uid="{4C4E8E23-ABEE-4ACB-B8B4-5573DE6B7A1A}"/>
    <hyperlink ref="H10" r:id="rId3" xr:uid="{67AF882D-6007-42CA-A0F2-994960EF2A36}"/>
    <hyperlink ref="H14" r:id="rId4" xr:uid="{6AB4648A-FCAC-4DB4-B3DA-9C9BB7B982AA}"/>
    <hyperlink ref="H13" r:id="rId5" xr:uid="{6AF62CB0-E0A4-4318-991B-3C0E5F25CA0D}"/>
    <hyperlink ref="H11" r:id="rId6" xr:uid="{9662131F-50DC-45DC-B044-76403E3E1ECB}"/>
    <hyperlink ref="H12" r:id="rId7" xr:uid="{9A785BE8-423E-4D7F-8EB2-CA7C8AB0A98C}"/>
    <hyperlink ref="H8" r:id="rId8" xr:uid="{8745AF16-B382-486E-AA37-684560A37C0A}"/>
  </hyperlinks>
  <pageMargins left="0.7" right="0.7" top="0.78740157499999996" bottom="0.78740157499999996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Prenner</dc:creator>
  <cp:lastModifiedBy>Moritz Prenner</cp:lastModifiedBy>
  <dcterms:created xsi:type="dcterms:W3CDTF">2025-11-23T13:12:33Z</dcterms:created>
  <dcterms:modified xsi:type="dcterms:W3CDTF">2026-01-02T10:28:09Z</dcterms:modified>
</cp:coreProperties>
</file>